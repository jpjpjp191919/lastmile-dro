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ε-Shift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40" customWidth="1" min="4" max="4"/>
    <col width="30" customWidth="1" min="5" max="5"/>
  </cols>
  <sheetData>
    <row r="1">
      <c r="A1" s="1" t="inlineStr">
        <is>
          <t>ε-Shift Rule Calculator for Last-Mile Workforce Planning</t>
        </is>
      </c>
    </row>
    <row r="2">
      <c r="A2" s="2" t="inlineStr">
        <is>
          <t>Based on: Mizuno &amp; Sato (2026) - EJOR Submission</t>
        </is>
      </c>
    </row>
    <row r="4">
      <c r="A4" s="3" t="inlineStr">
        <is>
          <t>SECTION 1: INPUT PARAMETERS</t>
        </is>
      </c>
    </row>
    <row r="5">
      <c r="A5" s="4" t="inlineStr">
        <is>
          <t>Parameter</t>
        </is>
      </c>
      <c r="B5" s="4" t="inlineStr">
        <is>
          <t>Symbol</t>
        </is>
      </c>
      <c r="C5" s="4" t="inlineStr">
        <is>
          <t>Value</t>
        </is>
      </c>
      <c r="D5" s="4" t="inlineStr">
        <is>
          <t>Unit</t>
        </is>
      </c>
      <c r="E5" s="4" t="inlineStr">
        <is>
          <t>Description</t>
        </is>
      </c>
    </row>
    <row r="6">
      <c r="A6" s="5" t="inlineStr">
        <is>
          <t>Package density</t>
        </is>
      </c>
      <c r="B6" s="5" t="inlineStr">
        <is>
          <t>Q</t>
        </is>
      </c>
      <c r="C6" s="6" t="n">
        <v>200</v>
      </c>
      <c r="D6" s="5" t="inlineStr">
        <is>
          <t>pkg/km²</t>
        </is>
      </c>
      <c r="E6" s="5" t="inlineStr">
        <is>
          <t>Expected packages per area</t>
        </is>
      </c>
    </row>
    <row r="7">
      <c r="A7" s="5" t="inlineStr">
        <is>
          <t>SD hourly wage</t>
        </is>
      </c>
      <c r="B7" s="5" t="inlineStr">
        <is>
          <t>w</t>
        </is>
      </c>
      <c r="C7" s="6" t="n">
        <v>1800</v>
      </c>
      <c r="D7" s="5" t="inlineStr">
        <is>
          <t>JPY/hour</t>
        </is>
      </c>
      <c r="E7" s="5" t="inlineStr">
        <is>
          <t>Salaried driver wage</t>
        </is>
      </c>
    </row>
    <row r="8">
      <c r="A8" s="5" t="inlineStr">
        <is>
          <t>Shift length</t>
        </is>
      </c>
      <c r="B8" s="5" t="inlineStr">
        <is>
          <t>T</t>
        </is>
      </c>
      <c r="C8" s="6" t="n">
        <v>8</v>
      </c>
      <c r="D8" s="5" t="inlineStr">
        <is>
          <t>hours</t>
        </is>
      </c>
      <c r="E8" s="5" t="inlineStr">
        <is>
          <t>Working hours per shift</t>
        </is>
      </c>
    </row>
    <row r="9">
      <c r="A9" s="5" t="inlineStr">
        <is>
          <t>GW cost per package</t>
        </is>
      </c>
      <c r="B9" s="5" t="inlineStr">
        <is>
          <t>c</t>
        </is>
      </c>
      <c r="C9" s="6" t="n">
        <v>360</v>
      </c>
      <c r="D9" s="5" t="inlineStr">
        <is>
          <t>JPY/pkg</t>
        </is>
      </c>
      <c r="E9" s="5" t="inlineStr">
        <is>
          <t>Gig worker cost</t>
        </is>
      </c>
    </row>
    <row r="10">
      <c r="A10" s="5" t="inlineStr">
        <is>
          <t>Handling time</t>
        </is>
      </c>
      <c r="B10" s="5" t="inlineStr">
        <is>
          <t>t</t>
        </is>
      </c>
      <c r="C10" s="6" t="n">
        <v>5</v>
      </c>
      <c r="D10" s="5" t="inlineStr">
        <is>
          <t>min/pkg</t>
        </is>
      </c>
      <c r="E10" s="5" t="inlineStr">
        <is>
          <t>Time per delivery</t>
        </is>
      </c>
    </row>
    <row r="11">
      <c r="A11" s="5" t="inlineStr">
        <is>
          <t>Existing SDs</t>
        </is>
      </c>
      <c r="B11" s="5" t="inlineStr">
        <is>
          <t>n₀</t>
        </is>
      </c>
      <c r="C11" s="6" t="n">
        <v>1</v>
      </c>
      <c r="D11" s="5" t="inlineStr">
        <is>
          <t>—</t>
        </is>
      </c>
      <c r="E11" s="5" t="inlineStr">
        <is>
          <t>Current salaried drivers</t>
        </is>
      </c>
    </row>
    <row r="12">
      <c r="A12" s="5" t="inlineStr">
        <is>
          <t>Initial work time</t>
        </is>
      </c>
      <c r="B12" s="5" t="inlineStr">
        <is>
          <t>T₀</t>
        </is>
      </c>
      <c r="C12" s="6" t="n">
        <v>5</v>
      </c>
      <c r="D12" s="5" t="inlineStr">
        <is>
          <t>hours</t>
        </is>
      </c>
      <c r="E12" s="5" t="inlineStr">
        <is>
          <t>Already scheduled work</t>
        </is>
      </c>
    </row>
    <row r="13">
      <c r="A13" s="5" t="inlineStr">
        <is>
          <t>Robustness parameter</t>
        </is>
      </c>
      <c r="B13" s="5" t="inlineStr">
        <is>
          <t>ε</t>
        </is>
      </c>
      <c r="C13" s="6" t="n">
        <v>0.02</v>
      </c>
      <c r="D13" s="5" t="inlineStr">
        <is>
          <t>—</t>
        </is>
      </c>
      <c r="E13" s="5" t="inlineStr">
        <is>
          <t>DRO ambiguity radius</t>
        </is>
      </c>
    </row>
    <row r="15">
      <c r="A15" s="3" t="inlineStr">
        <is>
          <t>SECTION 2: COMPUTED VALUES (Automatic)</t>
        </is>
      </c>
    </row>
    <row r="16">
      <c r="A16" t="inlineStr">
        <is>
          <t>Slack capacity S₀</t>
        </is>
      </c>
      <c r="B16" s="7">
        <f>C11*C8-C12</f>
        <v/>
      </c>
      <c r="C16" t="inlineStr">
        <is>
          <t>hours</t>
        </is>
      </c>
      <c r="D16" t="inlineStr">
        <is>
          <t>Available capacity = n₀×T - T₀</t>
        </is>
      </c>
    </row>
    <row r="17">
      <c r="A17" t="inlineStr">
        <is>
          <t>SD capacity (pkg/shift)</t>
        </is>
      </c>
      <c r="B17" s="7">
        <f>C8*60/C10</f>
        <v/>
      </c>
      <c r="C17" t="inlineStr">
        <is>
          <t>pkg</t>
        </is>
      </c>
      <c r="D17" t="inlineStr">
        <is>
          <t>Packages per SD shift = T×60/t</t>
        </is>
      </c>
    </row>
    <row r="18">
      <c r="A18" t="inlineStr">
        <is>
          <t>Fixed cost F</t>
        </is>
      </c>
      <c r="B18" s="7">
        <f>C7*C8</f>
        <v/>
      </c>
      <c r="C18" t="inlineStr">
        <is>
          <t>JPY</t>
        </is>
      </c>
      <c r="D18" t="inlineStr">
        <is>
          <t>Cost per additional SD = w×T</t>
        </is>
      </c>
    </row>
    <row r="19">
      <c r="A19" t="inlineStr">
        <is>
          <t>Capacity threshold p̄₀</t>
        </is>
      </c>
      <c r="B19" s="7">
        <f>B16*60/(C10*C6)</f>
        <v/>
      </c>
      <c r="C19" t="inlineStr">
        <is>
          <t>—</t>
        </is>
      </c>
      <c r="D19" t="inlineStr">
        <is>
          <t>Max absence rate for m=0: S₀×60/(t×Q)</t>
        </is>
      </c>
    </row>
    <row r="20">
      <c r="A20" t="inlineStr">
        <is>
          <t>Capacity threshold p̄₁</t>
        </is>
      </c>
      <c r="B20" s="7">
        <f>(B16+C8)*60/(C10*C6)</f>
        <v/>
      </c>
      <c r="C20" t="inlineStr">
        <is>
          <t>—</t>
        </is>
      </c>
      <c r="D20" t="inlineStr">
        <is>
          <t>Max absence rate for m=1</t>
        </is>
      </c>
    </row>
    <row r="22">
      <c r="A22" s="3" t="inlineStr">
        <is>
          <t>SECTION 3: DECISION THRESHOLDS</t>
        </is>
      </c>
    </row>
    <row r="23">
      <c r="A23" t="inlineStr">
        <is>
          <t>Deterministic threshold p*₀→₁</t>
        </is>
      </c>
      <c r="B23" s="7">
        <f>B19 + B18/(C6*C9)</f>
        <v/>
      </c>
      <c r="C23" t="inlineStr">
        <is>
          <t>—</t>
        </is>
      </c>
      <c r="D23" t="inlineStr">
        <is>
          <t>Switch from m=0 to m=1: p̄₀ + F/(Q×c)</t>
        </is>
      </c>
    </row>
    <row r="24">
      <c r="A24" t="inlineStr">
        <is>
          <t>DRO threshold p*₀→₁(DRO)</t>
        </is>
      </c>
      <c r="B24" s="8">
        <f>B23-C13</f>
        <v/>
      </c>
      <c r="C24" t="inlineStr">
        <is>
          <t>—</t>
        </is>
      </c>
      <c r="D24" t="inlineStr">
        <is>
          <t>ε-Shift Rule: p* - ε</t>
        </is>
      </c>
    </row>
    <row r="25">
      <c r="A25" t="inlineStr">
        <is>
          <t>Deterministic threshold p*₁→₂</t>
        </is>
      </c>
      <c r="B25" s="7">
        <f>B20 + B18/(C6*C9)</f>
        <v/>
      </c>
      <c r="C25" t="inlineStr">
        <is>
          <t>—</t>
        </is>
      </c>
      <c r="D25" t="inlineStr">
        <is>
          <t>Switch from m=1 to m=2</t>
        </is>
      </c>
    </row>
    <row r="26">
      <c r="A26" t="inlineStr">
        <is>
          <t>DRO threshold p*₁→₂(DRO)</t>
        </is>
      </c>
      <c r="B26" s="8">
        <f>B25-C13</f>
        <v/>
      </c>
      <c r="C26" t="inlineStr">
        <is>
          <t>—</t>
        </is>
      </c>
      <c r="D26" t="inlineStr">
        <is>
          <t>ε-Shift Rule: p* - ε</t>
        </is>
      </c>
    </row>
    <row r="28">
      <c r="A28" s="3" t="inlineStr">
        <is>
          <t>SECTION 4: DECISION TOOL</t>
        </is>
      </c>
    </row>
    <row r="29">
      <c r="A29" t="inlineStr">
        <is>
          <t>Enter observed sample mean p̂:</t>
        </is>
      </c>
      <c r="B29" s="6" t="n">
        <v>0.35</v>
      </c>
    </row>
    <row r="31">
      <c r="A31" s="9" t="inlineStr">
        <is>
          <t>RECOMMENDED DECISION:</t>
        </is>
      </c>
    </row>
    <row r="32">
      <c r="A32" t="inlineStr">
        <is>
          <t>Additional SDs (m)</t>
        </is>
      </c>
      <c r="B32" s="10">
        <f>IF(B29&lt;B24,0,IF(B29&lt;B26,1,2))</f>
        <v/>
      </c>
    </row>
    <row r="34">
      <c r="A34" t="inlineStr">
        <is>
          <t>Interpretation:</t>
        </is>
      </c>
      <c r="B34">
        <f>IF(B32=0,"Keep existing capacity (m=0)",IF(B32=1,"Add 1 SD shift (m=1)","Add 2+ SD shifts (m=2)"))</f>
        <v/>
      </c>
    </row>
    <row r="36">
      <c r="A36" s="3" t="inlineStr">
        <is>
          <t>REFERENCE VALUES (Paper Table 4)</t>
        </is>
      </c>
    </row>
    <row r="37">
      <c r="A37" s="5" t="inlineStr">
        <is>
          <t>Parameter</t>
        </is>
      </c>
      <c r="B37" s="5" t="inlineStr">
        <is>
          <t>Base Case</t>
        </is>
      </c>
    </row>
    <row r="38">
      <c r="A38" s="5" t="inlineStr">
        <is>
          <t>p̄₀</t>
        </is>
      </c>
      <c r="B38" s="5" t="inlineStr">
        <is>
          <t>0.180</t>
        </is>
      </c>
    </row>
    <row r="39">
      <c r="A39" s="5" t="inlineStr">
        <is>
          <t>p*₀→₁</t>
        </is>
      </c>
      <c r="B39" s="5" t="inlineStr">
        <is>
          <t>0.380</t>
        </is>
      </c>
    </row>
    <row r="40">
      <c r="A40" s="5" t="inlineStr">
        <is>
          <t>p̄₁</t>
        </is>
      </c>
      <c r="B40" s="5" t="inlineStr">
        <is>
          <t>0.660</t>
        </is>
      </c>
    </row>
    <row r="41">
      <c r="A41" s="5" t="inlineStr">
        <is>
          <t>p*₁→₂</t>
        </is>
      </c>
      <c r="B41" s="5" t="inlineStr">
        <is>
          <t>0.860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2026-01-10T03:25:18Z</dcterms:created>
  <dcterms:modified xmlns:dcterms="http://purl.org/dc/terms/" xmlns:xsi="http://www.w3.org/2001/XMLSchema-instance" xsi:type="dcterms:W3CDTF">2026-01-10T03:25:18Z</dcterms:modified>
</cp:coreProperties>
</file>