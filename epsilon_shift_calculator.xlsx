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izunoshigeharu/Desktop/lastmile-dro (2)/"/>
    </mc:Choice>
  </mc:AlternateContent>
  <xr:revisionPtr revIDLastSave="0" documentId="8_{1944ABE1-D552-E049-B560-742B917D817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ε-Shift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20" i="1" s="1"/>
  <c r="B25" i="1" s="1"/>
  <c r="B26" i="1" s="1"/>
  <c r="B19" i="1" l="1"/>
  <c r="B23" i="1" s="1"/>
  <c r="B24" i="1" s="1"/>
  <c r="B32" i="1" s="1"/>
  <c r="B34" i="1" s="1"/>
</calcChain>
</file>

<file path=xl/sharedStrings.xml><?xml version="1.0" encoding="utf-8"?>
<sst xmlns="http://schemas.openxmlformats.org/spreadsheetml/2006/main" count="84" uniqueCount="73">
  <si>
    <t>ε-Shift Rule Calculator for Last-Mile Workforce Planning</t>
  </si>
  <si>
    <t>SECTION 1: INPUT PARAMETERS</t>
  </si>
  <si>
    <t>Parameter</t>
  </si>
  <si>
    <t>Symbol</t>
  </si>
  <si>
    <t>Value</t>
  </si>
  <si>
    <t>Unit</t>
  </si>
  <si>
    <t>Description</t>
  </si>
  <si>
    <t>Package density</t>
  </si>
  <si>
    <t>Q</t>
  </si>
  <si>
    <t>pkg/km²</t>
  </si>
  <si>
    <t>Expected packages per area</t>
  </si>
  <si>
    <t>SD hourly wage</t>
  </si>
  <si>
    <t>w</t>
  </si>
  <si>
    <t>JPY/hour</t>
  </si>
  <si>
    <t>Salaried driver wage</t>
  </si>
  <si>
    <t>Shift length</t>
  </si>
  <si>
    <t>T</t>
  </si>
  <si>
    <t>hours</t>
  </si>
  <si>
    <t>Working hours per shift</t>
  </si>
  <si>
    <t>GW cost per package</t>
  </si>
  <si>
    <t>c</t>
  </si>
  <si>
    <t>JPY/pkg</t>
  </si>
  <si>
    <t>Gig worker cost</t>
  </si>
  <si>
    <t>Handling time</t>
  </si>
  <si>
    <t>t</t>
  </si>
  <si>
    <t>min/pkg</t>
  </si>
  <si>
    <t>Time per delivery</t>
  </si>
  <si>
    <t>Existing SDs</t>
  </si>
  <si>
    <t>n₀</t>
  </si>
  <si>
    <t>—</t>
  </si>
  <si>
    <t>Current salaried drivers</t>
  </si>
  <si>
    <t>Initial work time</t>
  </si>
  <si>
    <t>T₀</t>
  </si>
  <si>
    <t>Already scheduled work</t>
  </si>
  <si>
    <t>Robustness parameter</t>
  </si>
  <si>
    <t>ε</t>
  </si>
  <si>
    <t>DRO ambiguity radius</t>
  </si>
  <si>
    <t>SECTION 2: COMPUTED VALUES (Automatic)</t>
  </si>
  <si>
    <t>Slack capacity S₀</t>
  </si>
  <si>
    <t>Available capacity = n₀×T - T₀</t>
  </si>
  <si>
    <t>SD capacity (pkg/shift)</t>
  </si>
  <si>
    <t>pkg</t>
  </si>
  <si>
    <t>Packages per SD shift = T×60/t</t>
  </si>
  <si>
    <t>Fixed cost F</t>
  </si>
  <si>
    <t>JPY</t>
  </si>
  <si>
    <t>Cost per additional SD = w×T</t>
  </si>
  <si>
    <t>Capacity threshold p̄₀</t>
  </si>
  <si>
    <t>Max absence rate for m=0: S₀×60/(t×Q)</t>
  </si>
  <si>
    <t>Capacity threshold p̄₁</t>
  </si>
  <si>
    <t>Max absence rate for m=1</t>
  </si>
  <si>
    <t>SECTION 3: DECISION THRESHOLDS</t>
  </si>
  <si>
    <t>Deterministic threshold p*₀→₁</t>
  </si>
  <si>
    <t>Switch from m=0 to m=1: p̄₀ + F/(Q×c)</t>
  </si>
  <si>
    <t>DRO threshold p*₀→₁(DRO)</t>
  </si>
  <si>
    <t>ε-Shift Rule: p* - ε</t>
  </si>
  <si>
    <t>Deterministic threshold p*₁→₂</t>
  </si>
  <si>
    <t>Switch from m=1 to m=2</t>
  </si>
  <si>
    <t>DRO threshold p*₁→₂(DRO)</t>
  </si>
  <si>
    <t>SECTION 4: DECISION TOOL</t>
  </si>
  <si>
    <t>Enter observed sample mean p̂:</t>
  </si>
  <si>
    <t>RECOMMENDED DECISION:</t>
  </si>
  <si>
    <t>Additional SDs (m)</t>
  </si>
  <si>
    <t>Interpretation:</t>
  </si>
  <si>
    <t>REFERENCE VALUES (Paper Table 4)</t>
  </si>
  <si>
    <t>Base Case</t>
  </si>
  <si>
    <t>p̄₀</t>
  </si>
  <si>
    <t>0.180</t>
  </si>
  <si>
    <t>p*₀→₁</t>
  </si>
  <si>
    <t>0.380</t>
  </si>
  <si>
    <t>p̄₁</t>
  </si>
  <si>
    <t>0.660</t>
  </si>
  <si>
    <t>p*₁→₂</t>
  </si>
  <si>
    <t>0.860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</si>
</sst>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ＭＳ Ｐゴシック"/>
      <family val="2"/>
      <scheme val="minor"/>
    </font>
    <font>
      <b/>
      <sz val="16"/>
      <name val="ＭＳ Ｐゴシック"/>
      <family val="2"/>
      <charset val="128"/>
    </font>
    <font>
      <i/>
      <sz val="10"/>
      <name val="ＭＳ Ｐゴシック"/>
      <family val="2"/>
      <charset val="128"/>
    </font>
    <font>
      <b/>
      <sz val="14"/>
      <name val="ＭＳ Ｐゴシック"/>
      <family val="2"/>
      <charset val="128"/>
    </font>
    <font>
      <b/>
      <sz val="12"/>
      <name val="ＭＳ Ｐゴシック"/>
      <family val="2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0" borderId="1" xfId="0" applyFont="1" applyBorder="1"/>
    <xf numFmtId="0" fontId="0" fillId="0" borderId="1" xfId="0" applyBorder="1"/>
    <xf numFmtId="0" fontId="0" fillId="2" borderId="1" xfId="0" applyFill="1" applyBorder="1"/>
    <xf numFmtId="0" fontId="0" fillId="3" borderId="0" xfId="0" applyFill="1"/>
    <xf numFmtId="0" fontId="0" fillId="4" borderId="0" xfId="0" applyFill="1"/>
    <xf numFmtId="0" fontId="4" fillId="0" borderId="0" xfId="0" applyFont="1"/>
    <xf numFmtId="0" fontId="3" fillId="4" borderId="1" xfId="0" applyFont="1" applyFill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tabSelected="1" workbookViewId="0">
      <selection activeCell="E30" sqref="E30"/>
    </sheetView>
  </sheetViews>
  <sheetFormatPr baseColWidth="10" defaultColWidth="8.83203125" defaultRowHeight="14"/>
  <cols>
    <col min="1" max="1" width="30" customWidth="1"/>
    <col min="2" max="2" width="20" customWidth="1"/>
    <col min="3" max="3" width="12" customWidth="1"/>
    <col min="4" max="4" width="40" customWidth="1"/>
    <col min="5" max="5" width="30" customWidth="1"/>
  </cols>
  <sheetData>
    <row r="1" spans="1:6" ht="19">
      <c r="A1" s="11" t="s">
        <v>0</v>
      </c>
      <c r="B1" s="10"/>
      <c r="C1" s="10"/>
      <c r="D1" s="10"/>
      <c r="E1" s="10"/>
      <c r="F1" s="10"/>
    </row>
    <row r="2" spans="1:6">
      <c r="A2" s="9"/>
      <c r="B2" s="10"/>
      <c r="C2" s="10"/>
      <c r="D2" s="10"/>
      <c r="E2" s="10"/>
      <c r="F2" s="10"/>
    </row>
    <row r="4" spans="1:6" ht="17">
      <c r="A4" s="1" t="s">
        <v>1</v>
      </c>
    </row>
    <row r="5" spans="1:6" ht="15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</row>
    <row r="6" spans="1:6">
      <c r="A6" s="3" t="s">
        <v>7</v>
      </c>
      <c r="B6" s="3" t="s">
        <v>8</v>
      </c>
      <c r="C6" s="4">
        <v>200</v>
      </c>
      <c r="D6" s="3" t="s">
        <v>9</v>
      </c>
      <c r="E6" s="3" t="s">
        <v>10</v>
      </c>
    </row>
    <row r="7" spans="1:6">
      <c r="A7" s="3" t="s">
        <v>11</v>
      </c>
      <c r="B7" s="3" t="s">
        <v>12</v>
      </c>
      <c r="C7" s="4">
        <v>1800</v>
      </c>
      <c r="D7" s="3" t="s">
        <v>13</v>
      </c>
      <c r="E7" s="3" t="s">
        <v>14</v>
      </c>
    </row>
    <row r="8" spans="1:6">
      <c r="A8" s="3" t="s">
        <v>15</v>
      </c>
      <c r="B8" s="3" t="s">
        <v>16</v>
      </c>
      <c r="C8" s="4">
        <v>8</v>
      </c>
      <c r="D8" s="3" t="s">
        <v>17</v>
      </c>
      <c r="E8" s="3" t="s">
        <v>18</v>
      </c>
    </row>
    <row r="9" spans="1:6">
      <c r="A9" s="3" t="s">
        <v>19</v>
      </c>
      <c r="B9" s="3" t="s">
        <v>20</v>
      </c>
      <c r="C9" s="4">
        <v>360</v>
      </c>
      <c r="D9" s="3" t="s">
        <v>21</v>
      </c>
      <c r="E9" s="3" t="s">
        <v>22</v>
      </c>
    </row>
    <row r="10" spans="1:6">
      <c r="A10" s="3" t="s">
        <v>23</v>
      </c>
      <c r="B10" s="3" t="s">
        <v>24</v>
      </c>
      <c r="C10" s="4">
        <v>5</v>
      </c>
      <c r="D10" s="3" t="s">
        <v>25</v>
      </c>
      <c r="E10" s="3" t="s">
        <v>26</v>
      </c>
    </row>
    <row r="11" spans="1:6">
      <c r="A11" s="3" t="s">
        <v>27</v>
      </c>
      <c r="B11" s="3" t="s">
        <v>28</v>
      </c>
      <c r="C11" s="4">
        <v>1</v>
      </c>
      <c r="D11" s="3" t="s">
        <v>29</v>
      </c>
      <c r="E11" s="3" t="s">
        <v>30</v>
      </c>
    </row>
    <row r="12" spans="1:6">
      <c r="A12" s="3" t="s">
        <v>31</v>
      </c>
      <c r="B12" s="3" t="s">
        <v>32</v>
      </c>
      <c r="C12" s="4">
        <v>5</v>
      </c>
      <c r="D12" s="3" t="s">
        <v>17</v>
      </c>
      <c r="E12" s="3" t="s">
        <v>33</v>
      </c>
    </row>
    <row r="13" spans="1:6">
      <c r="A13" s="3" t="s">
        <v>34</v>
      </c>
      <c r="B13" s="3" t="s">
        <v>35</v>
      </c>
      <c r="C13" s="4">
        <v>0.02</v>
      </c>
      <c r="D13" s="3" t="s">
        <v>29</v>
      </c>
      <c r="E13" s="3" t="s">
        <v>36</v>
      </c>
    </row>
    <row r="15" spans="1:6" ht="17">
      <c r="A15" s="1" t="s">
        <v>37</v>
      </c>
    </row>
    <row r="16" spans="1:6">
      <c r="A16" t="s">
        <v>38</v>
      </c>
      <c r="B16" s="5">
        <f>C11*C8-C12</f>
        <v>3</v>
      </c>
      <c r="C16" t="s">
        <v>17</v>
      </c>
      <c r="D16" t="s">
        <v>39</v>
      </c>
    </row>
    <row r="17" spans="1:4">
      <c r="A17" t="s">
        <v>40</v>
      </c>
      <c r="B17" s="5">
        <f>C8*60/C10</f>
        <v>96</v>
      </c>
      <c r="C17" t="s">
        <v>41</v>
      </c>
      <c r="D17" t="s">
        <v>42</v>
      </c>
    </row>
    <row r="18" spans="1:4">
      <c r="A18" t="s">
        <v>43</v>
      </c>
      <c r="B18" s="5">
        <f>C7*C8</f>
        <v>14400</v>
      </c>
      <c r="C18" t="s">
        <v>44</v>
      </c>
      <c r="D18" t="s">
        <v>45</v>
      </c>
    </row>
    <row r="19" spans="1:4">
      <c r="A19" t="s">
        <v>46</v>
      </c>
      <c r="B19" s="5">
        <f>B16*60/(C10*C6)</f>
        <v>0.18</v>
      </c>
      <c r="C19" t="s">
        <v>29</v>
      </c>
      <c r="D19" t="s">
        <v>47</v>
      </c>
    </row>
    <row r="20" spans="1:4">
      <c r="A20" t="s">
        <v>48</v>
      </c>
      <c r="B20" s="5">
        <f>(B16+C8)*60/(C10*C6)</f>
        <v>0.66</v>
      </c>
      <c r="C20" t="s">
        <v>29</v>
      </c>
      <c r="D20" t="s">
        <v>49</v>
      </c>
    </row>
    <row r="22" spans="1:4" ht="17">
      <c r="A22" s="1" t="s">
        <v>50</v>
      </c>
    </row>
    <row r="23" spans="1:4">
      <c r="A23" t="s">
        <v>51</v>
      </c>
      <c r="B23" s="5">
        <f>B19 + B18/(C6*C9)</f>
        <v>0.38</v>
      </c>
      <c r="C23" t="s">
        <v>29</v>
      </c>
      <c r="D23" t="s">
        <v>52</v>
      </c>
    </row>
    <row r="24" spans="1:4">
      <c r="A24" t="s">
        <v>53</v>
      </c>
      <c r="B24" s="6">
        <f>B23-C13</f>
        <v>0.36</v>
      </c>
      <c r="C24" t="s">
        <v>29</v>
      </c>
      <c r="D24" t="s">
        <v>54</v>
      </c>
    </row>
    <row r="25" spans="1:4">
      <c r="A25" t="s">
        <v>55</v>
      </c>
      <c r="B25" s="5">
        <f>B20 + B18/(C6*C9)</f>
        <v>0.8600000000000001</v>
      </c>
      <c r="C25" t="s">
        <v>29</v>
      </c>
      <c r="D25" t="s">
        <v>56</v>
      </c>
    </row>
    <row r="26" spans="1:4">
      <c r="A26" t="s">
        <v>57</v>
      </c>
      <c r="B26" s="6">
        <f>B25-C13</f>
        <v>0.84000000000000008</v>
      </c>
      <c r="C26" t="s">
        <v>29</v>
      </c>
      <c r="D26" t="s">
        <v>54</v>
      </c>
    </row>
    <row r="28" spans="1:4" ht="17">
      <c r="A28" s="1" t="s">
        <v>58</v>
      </c>
    </row>
    <row r="29" spans="1:4">
      <c r="A29" t="s">
        <v>59</v>
      </c>
      <c r="B29" s="4">
        <v>0.35</v>
      </c>
    </row>
    <row r="31" spans="1:4" ht="15">
      <c r="A31" s="7" t="s">
        <v>60</v>
      </c>
    </row>
    <row r="32" spans="1:4" ht="17">
      <c r="A32" t="s">
        <v>61</v>
      </c>
      <c r="B32" s="8">
        <f>IF(B29&lt;B24,0,IF(B29&lt;B26,1,2))</f>
        <v>0</v>
      </c>
    </row>
    <row r="34" spans="1:2">
      <c r="A34" t="s">
        <v>62</v>
      </c>
      <c r="B34" t="str">
        <f>IF(B32=0,"Keep existing capacity (m=0)",IF(B32=1,"Add 1 SD shift (m=1)","Add 2+ SD shifts (m=2)"))</f>
        <v>Keep existing capacity (m=0)</v>
      </c>
    </row>
    <row r="36" spans="1:2" ht="17">
      <c r="A36" s="1" t="s">
        <v>63</v>
      </c>
    </row>
    <row r="37" spans="1:2">
      <c r="A37" s="3" t="s">
        <v>2</v>
      </c>
      <c r="B37" s="3" t="s">
        <v>64</v>
      </c>
    </row>
    <row r="38" spans="1:2">
      <c r="A38" s="3" t="s">
        <v>65</v>
      </c>
      <c r="B38" s="3" t="s">
        <v>66</v>
      </c>
    </row>
    <row r="39" spans="1:2">
      <c r="A39" s="3" t="s">
        <v>67</v>
      </c>
      <c r="B39" s="3" t="s">
        <v>68</v>
      </c>
    </row>
    <row r="40" spans="1:2">
      <c r="A40" s="3" t="s">
        <v>69</v>
      </c>
      <c r="B40" s="3" t="s">
        <v>70</v>
      </c>
    </row>
    <row r="41" spans="1:2">
      <c r="A41" s="3" t="s">
        <v>71</v>
      </c>
      <c r="B41" s="3" t="s">
        <v>72</v>
      </c>
    </row>
  </sheetData>
  <mergeCells count="2">
    <mergeCell ref="A2:F2"/>
    <mergeCell ref="A1:F1"/>
  </mergeCells>
  <phoneticPr fontId="5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ε-Shift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MIZUNO SHIGEHARU(mi22s1sr)</cp:lastModifiedBy>
  <dcterms:created xsi:type="dcterms:W3CDTF">2026-01-10T03:25:18Z</dcterms:created>
  <dcterms:modified xsi:type="dcterms:W3CDTF">2026-01-13T13:21:41Z</dcterms:modified>
</cp:coreProperties>
</file>